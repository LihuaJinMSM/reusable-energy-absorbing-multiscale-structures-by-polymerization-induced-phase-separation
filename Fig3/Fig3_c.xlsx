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3\"/>
    </mc:Choice>
  </mc:AlternateContent>
  <xr:revisionPtr revIDLastSave="0" documentId="13_ncr:1_{ACD00636-A35C-4CDE-BFEB-C7D9AB86A72F}" xr6:coauthVersionLast="47" xr6:coauthVersionMax="47" xr10:uidLastSave="{00000000-0000-0000-0000-000000000000}"/>
  <bookViews>
    <workbookView xWindow="45" yWindow="5520" windowWidth="165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F7" i="1"/>
  <c r="E7" i="1"/>
  <c r="F6" i="1"/>
  <c r="E6" i="1"/>
  <c r="F5" i="1"/>
  <c r="E5" i="1"/>
  <c r="F4" i="1"/>
  <c r="E4" i="1"/>
  <c r="L7" i="1"/>
  <c r="K7" i="1"/>
  <c r="L6" i="1"/>
  <c r="K6" i="1"/>
  <c r="L5" i="1"/>
  <c r="K5" i="1"/>
  <c r="L4" i="1"/>
  <c r="K4" i="1"/>
  <c r="L3" i="1"/>
  <c r="K3" i="1"/>
  <c r="Q4" i="1"/>
  <c r="R4" i="1"/>
  <c r="Q5" i="1"/>
  <c r="R5" i="1"/>
  <c r="Q6" i="1"/>
  <c r="R6" i="1"/>
  <c r="Q7" i="1"/>
  <c r="R7" i="1"/>
  <c r="R3" i="1"/>
  <c r="Q3" i="1"/>
</calcChain>
</file>

<file path=xl/sharedStrings.xml><?xml version="1.0" encoding="utf-8"?>
<sst xmlns="http://schemas.openxmlformats.org/spreadsheetml/2006/main" count="17" uniqueCount="12">
  <si>
    <t>Tensile strength</t>
  </si>
  <si>
    <t>[MPa]</t>
  </si>
  <si>
    <t>0E</t>
  </si>
  <si>
    <t>10E</t>
  </si>
  <si>
    <t>20E</t>
  </si>
  <si>
    <t>30E</t>
  </si>
  <si>
    <t>40E</t>
  </si>
  <si>
    <t>Fracture strain</t>
  </si>
  <si>
    <t>[]</t>
  </si>
  <si>
    <t>Young's modulus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</si>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</sst>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K9" sqref="K9"/>
    </sheetView>
  </sheetViews>
  <sheetFormatPr defaultRowHeight="15" x14ac:dyDescent="0.25"/>
  <cols>
    <col min="1" max="1" width="4" bestFit="1" customWidth="1"/>
    <col min="7" max="7" width="4.28515625" customWidth="1"/>
    <col min="12" max="12" width="9.140625" customWidth="1"/>
    <col min="13" max="13" width="4.28515625" customWidth="1"/>
  </cols>
  <sheetData>
    <row r="1" spans="1:18" x14ac:dyDescent="0.25">
      <c r="B1" s="2" t="s">
        <v>0</v>
      </c>
      <c r="C1" s="2"/>
      <c r="D1" s="2"/>
      <c r="E1" s="1"/>
      <c r="F1" s="1"/>
      <c r="H1" s="2" t="s">
        <v>7</v>
      </c>
      <c r="I1" s="2"/>
      <c r="J1" s="2"/>
      <c r="K1" s="1"/>
      <c r="N1" s="2" t="s">
        <v>9</v>
      </c>
      <c r="O1" s="2"/>
      <c r="P1" s="2"/>
    </row>
    <row r="2" spans="1:18" x14ac:dyDescent="0.25">
      <c r="B2" s="2" t="s">
        <v>1</v>
      </c>
      <c r="C2" s="2"/>
      <c r="D2" s="2"/>
      <c r="E2" t="s">
        <v>10</v>
      </c>
      <c r="F2" t="s">
        <v>11</v>
      </c>
      <c r="H2" s="2" t="s">
        <v>8</v>
      </c>
      <c r="I2" s="2"/>
      <c r="J2" s="2"/>
      <c r="K2" t="s">
        <v>10</v>
      </c>
      <c r="L2" t="s">
        <v>11</v>
      </c>
      <c r="N2" s="2" t="s">
        <v>1</v>
      </c>
      <c r="O2" s="2"/>
      <c r="P2" s="2"/>
      <c r="Q2" t="s">
        <v>10</v>
      </c>
      <c r="R2" t="s">
        <v>11</v>
      </c>
    </row>
    <row r="3" spans="1:18" x14ac:dyDescent="0.25">
      <c r="A3" t="s">
        <v>2</v>
      </c>
      <c r="B3">
        <v>2.97</v>
      </c>
      <c r="C3">
        <v>2.8</v>
      </c>
      <c r="D3">
        <v>2.56</v>
      </c>
      <c r="E3">
        <f>AVERAGE(B3:D3)</f>
        <v>2.7766666666666668</v>
      </c>
      <c r="F3">
        <f>STDEV(B3:D3)</f>
        <v>0.20599352740640509</v>
      </c>
      <c r="H3">
        <v>3.21</v>
      </c>
      <c r="I3">
        <v>3.1</v>
      </c>
      <c r="J3">
        <v>2.98</v>
      </c>
      <c r="K3">
        <f>AVERAGE(H3:J3)</f>
        <v>3.0966666666666671</v>
      </c>
      <c r="L3">
        <f>STDEV(H3:J3)</f>
        <v>0.11503622617824931</v>
      </c>
      <c r="N3">
        <v>5.7</v>
      </c>
      <c r="O3">
        <v>5.14</v>
      </c>
      <c r="P3">
        <v>5.97</v>
      </c>
      <c r="Q3">
        <f>AVERAGE(N3:P3)</f>
        <v>5.6033333333333326</v>
      </c>
      <c r="R3">
        <f>STDEV(N3:P3)</f>
        <v>0.42335957923889406</v>
      </c>
    </row>
    <row r="4" spans="1:18" x14ac:dyDescent="0.25">
      <c r="A4" t="s">
        <v>3</v>
      </c>
      <c r="B4">
        <v>3.86</v>
      </c>
      <c r="C4">
        <v>3.74</v>
      </c>
      <c r="D4">
        <v>3.81</v>
      </c>
      <c r="E4">
        <f t="shared" ref="E4:E7" si="0">AVERAGE(B4:D4)</f>
        <v>3.8033333333333332</v>
      </c>
      <c r="F4">
        <f t="shared" ref="F4:F7" si="1">STDEV(B4:D4)</f>
        <v>6.0277137733416919E-2</v>
      </c>
      <c r="H4">
        <v>3.05</v>
      </c>
      <c r="I4">
        <v>2.9</v>
      </c>
      <c r="J4">
        <v>2.94</v>
      </c>
      <c r="K4">
        <f t="shared" ref="K4:K7" si="2">AVERAGE(H4:J4)</f>
        <v>2.9633333333333329</v>
      </c>
      <c r="L4">
        <f t="shared" ref="L4:L7" si="3">STDEV(H4:J4)</f>
        <v>7.7674534651540228E-2</v>
      </c>
      <c r="N4">
        <v>8</v>
      </c>
      <c r="O4">
        <v>7.52</v>
      </c>
      <c r="P4">
        <v>8.11</v>
      </c>
      <c r="Q4">
        <f t="shared" ref="Q4:Q7" si="4">AVERAGE(N4:P4)</f>
        <v>7.876666666666666</v>
      </c>
      <c r="R4">
        <f t="shared" ref="R4:R7" si="5">STDEV(N4:P4)</f>
        <v>0.3137408697210699</v>
      </c>
    </row>
    <row r="5" spans="1:18" x14ac:dyDescent="0.25">
      <c r="A5" t="s">
        <v>4</v>
      </c>
      <c r="B5">
        <v>9.35</v>
      </c>
      <c r="C5">
        <v>9.4</v>
      </c>
      <c r="D5">
        <v>9.3800000000000008</v>
      </c>
      <c r="E5">
        <f t="shared" si="0"/>
        <v>9.3766666666666669</v>
      </c>
      <c r="F5">
        <f t="shared" si="1"/>
        <v>2.5166114784236235E-2</v>
      </c>
      <c r="H5">
        <v>2.65</v>
      </c>
      <c r="I5">
        <v>2.81</v>
      </c>
      <c r="J5">
        <v>2.75</v>
      </c>
      <c r="K5">
        <f t="shared" si="2"/>
        <v>2.7366666666666668</v>
      </c>
      <c r="L5">
        <f t="shared" si="3"/>
        <v>8.0829037686547672E-2</v>
      </c>
      <c r="N5">
        <v>13.08</v>
      </c>
      <c r="O5">
        <v>14.11</v>
      </c>
      <c r="P5">
        <v>13.12</v>
      </c>
      <c r="Q5">
        <f t="shared" si="4"/>
        <v>13.436666666666666</v>
      </c>
      <c r="R5">
        <f t="shared" si="5"/>
        <v>0.58346665143205323</v>
      </c>
    </row>
    <row r="6" spans="1:18" x14ac:dyDescent="0.25">
      <c r="A6" t="s">
        <v>5</v>
      </c>
      <c r="B6">
        <v>24.6</v>
      </c>
      <c r="C6">
        <v>30</v>
      </c>
      <c r="D6">
        <v>26.5</v>
      </c>
      <c r="E6">
        <f t="shared" si="0"/>
        <v>27.033333333333331</v>
      </c>
      <c r="F6">
        <f t="shared" si="1"/>
        <v>2.7392213005402337</v>
      </c>
      <c r="H6">
        <v>2.5299999999999998</v>
      </c>
      <c r="I6">
        <v>2.34</v>
      </c>
      <c r="J6">
        <v>2.4500000000000002</v>
      </c>
      <c r="K6">
        <f t="shared" si="2"/>
        <v>2.44</v>
      </c>
      <c r="L6">
        <f t="shared" si="3"/>
        <v>9.5393920141694552E-2</v>
      </c>
      <c r="N6">
        <v>18.27</v>
      </c>
      <c r="O6">
        <v>18.71</v>
      </c>
      <c r="P6">
        <v>19.13</v>
      </c>
      <c r="Q6">
        <f t="shared" si="4"/>
        <v>18.703333333333333</v>
      </c>
      <c r="R6">
        <f t="shared" si="5"/>
        <v>0.43003875794320345</v>
      </c>
    </row>
    <row r="7" spans="1:18" x14ac:dyDescent="0.25">
      <c r="A7" t="s">
        <v>6</v>
      </c>
      <c r="B7">
        <v>14.2</v>
      </c>
      <c r="C7">
        <v>10.210000000000001</v>
      </c>
      <c r="D7">
        <v>11.1</v>
      </c>
      <c r="E7">
        <f t="shared" si="0"/>
        <v>11.836666666666666</v>
      </c>
      <c r="F7">
        <f t="shared" si="1"/>
        <v>2.0945246079560307</v>
      </c>
      <c r="H7">
        <v>2.02</v>
      </c>
      <c r="I7">
        <v>1.85</v>
      </c>
      <c r="J7">
        <v>1.89</v>
      </c>
      <c r="K7">
        <f t="shared" si="2"/>
        <v>1.92</v>
      </c>
      <c r="L7">
        <f t="shared" si="3"/>
        <v>8.8881944173155883E-2</v>
      </c>
      <c r="N7">
        <v>32.67</v>
      </c>
      <c r="O7">
        <v>32.979999999999897</v>
      </c>
      <c r="P7">
        <v>32.01</v>
      </c>
      <c r="Q7">
        <f t="shared" si="4"/>
        <v>32.553333333333292</v>
      </c>
      <c r="R7">
        <f t="shared" si="5"/>
        <v>0.49541228621552258</v>
      </c>
    </row>
  </sheetData>
  <mergeCells count="6">
    <mergeCell ref="H2:J2"/>
    <mergeCell ref="H1:J1"/>
    <mergeCell ref="N1:P1"/>
    <mergeCell ref="N2:P2"/>
    <mergeCell ref="B1:D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2026-10-07T13:26:39Z</dcterms:modified>
</cp:coreProperties>
</file>