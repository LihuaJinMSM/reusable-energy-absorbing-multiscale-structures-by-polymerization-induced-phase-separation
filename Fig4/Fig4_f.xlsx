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4\"/>
    </mc:Choice>
  </mc:AlternateContent>
  <xr:revisionPtr revIDLastSave="0" documentId="13_ncr:1_{9C8CD436-F5DD-42F9-B4D8-A4E02BB97B8D}" xr6:coauthVersionLast="47" xr6:coauthVersionMax="47" xr10:uidLastSave="{00000000-0000-0000-0000-000000000000}"/>
  <bookViews>
    <workbookView xWindow="45" yWindow="5520" windowWidth="165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G3" i="1"/>
  <c r="F3" i="1"/>
  <c r="G2" i="1"/>
  <c r="F2" i="1"/>
  <c r="M3" i="1"/>
  <c r="M4" i="1"/>
  <c r="M2" i="1"/>
  <c r="L3" i="1"/>
  <c r="L4" i="1"/>
  <c r="L2" i="1"/>
</calcChain>
</file>

<file path=xl/sharedStrings.xml><?xml version="1.0" encoding="utf-8"?>
<sst xmlns="http://schemas.openxmlformats.org/spreadsheetml/2006/main" count="12" uniqueCount="9">
  <si>
    <t>avg</t>
  </si>
  <si>
    <t>Modulus</t>
  </si>
  <si>
    <t>Fracture strain</t>
  </si>
  <si>
    <t>Molded</t>
  </si>
  <si>
    <t>Tensile strength</t>
  </si>
  <si>
    <t>3D printed</t>
  </si>
  <si>
    <t>[MPa]</t>
  </si>
  <si>
    <t>[]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</si>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</sst>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J17" sqref="J17"/>
    </sheetView>
  </sheetViews>
  <sheetFormatPr defaultRowHeight="15" x14ac:dyDescent="0.25"/>
  <cols>
    <col min="1" max="1" width="15.42578125" bestFit="1" customWidth="1"/>
    <col min="2" max="2" width="6.28515625" bestFit="1" customWidth="1"/>
    <col min="8" max="8" width="4.28515625" customWidth="1"/>
    <col min="13" max="14" width="7.85546875" customWidth="1"/>
    <col min="16" max="16" width="9.5703125" customWidth="1"/>
  </cols>
  <sheetData>
    <row r="1" spans="1:13" x14ac:dyDescent="0.25">
      <c r="C1" s="1" t="s">
        <v>5</v>
      </c>
      <c r="D1" s="1"/>
      <c r="E1" s="1"/>
      <c r="F1" t="s">
        <v>0</v>
      </c>
      <c r="G1" t="s">
        <v>8</v>
      </c>
      <c r="I1" s="1" t="s">
        <v>3</v>
      </c>
      <c r="J1" s="1"/>
      <c r="K1" s="1"/>
      <c r="L1" t="s">
        <v>0</v>
      </c>
      <c r="M1" t="s">
        <v>8</v>
      </c>
    </row>
    <row r="2" spans="1:13" x14ac:dyDescent="0.25">
      <c r="A2" t="s">
        <v>1</v>
      </c>
      <c r="B2" t="s">
        <v>6</v>
      </c>
      <c r="C2">
        <v>32.5</v>
      </c>
      <c r="D2">
        <v>27.4</v>
      </c>
      <c r="E2">
        <v>33.24</v>
      </c>
      <c r="F2">
        <f>AVERAGE(C2:E2)</f>
        <v>31.046666666666667</v>
      </c>
      <c r="G2">
        <f>STDEV(C2:E2)</f>
        <v>3.1797064854060575</v>
      </c>
      <c r="I2">
        <v>18.46</v>
      </c>
      <c r="J2">
        <v>19.559999999999999</v>
      </c>
      <c r="K2">
        <v>17.829999999999998</v>
      </c>
      <c r="L2">
        <f>AVERAGE(I2:K2)</f>
        <v>18.616666666666664</v>
      </c>
      <c r="M2">
        <f>STDEV(I2:K2)</f>
        <v>0.87557600088931942</v>
      </c>
    </row>
    <row r="3" spans="1:13" x14ac:dyDescent="0.25">
      <c r="A3" t="s">
        <v>2</v>
      </c>
      <c r="B3" t="s">
        <v>7</v>
      </c>
      <c r="C3">
        <v>2.19</v>
      </c>
      <c r="D3">
        <v>2.31</v>
      </c>
      <c r="E3">
        <v>2.11</v>
      </c>
      <c r="F3">
        <f t="shared" ref="F3:F4" si="0">AVERAGE(C3:E3)</f>
        <v>2.2033333333333331</v>
      </c>
      <c r="G3">
        <f t="shared" ref="G3:G4" si="1">STDEV(C3:E3)</f>
        <v>0.10066445913694343</v>
      </c>
      <c r="I3">
        <v>2.5299999999999998</v>
      </c>
      <c r="J3">
        <v>2.34</v>
      </c>
      <c r="K3">
        <v>2.4500000000000002</v>
      </c>
      <c r="L3">
        <f t="shared" ref="L3:L4" si="2">AVERAGE(I3:K3)</f>
        <v>2.44</v>
      </c>
      <c r="M3">
        <f t="shared" ref="M3:M4" si="3">STDEV(I3:K3)</f>
        <v>9.5393920141694552E-2</v>
      </c>
    </row>
    <row r="4" spans="1:13" x14ac:dyDescent="0.25">
      <c r="A4" t="s">
        <v>4</v>
      </c>
      <c r="B4" t="s">
        <v>6</v>
      </c>
      <c r="C4">
        <v>24.4</v>
      </c>
      <c r="D4">
        <v>26.13</v>
      </c>
      <c r="E4">
        <v>23.98</v>
      </c>
      <c r="F4">
        <f t="shared" si="0"/>
        <v>24.83666666666667</v>
      </c>
      <c r="G4">
        <f t="shared" si="1"/>
        <v>1.1395759445220544</v>
      </c>
      <c r="I4">
        <v>24.6</v>
      </c>
      <c r="J4">
        <v>30</v>
      </c>
      <c r="K4">
        <v>26.5</v>
      </c>
      <c r="L4">
        <f t="shared" si="2"/>
        <v>27.033333333333331</v>
      </c>
      <c r="M4">
        <f t="shared" si="3"/>
        <v>2.7392213005402337</v>
      </c>
    </row>
  </sheetData>
  <mergeCells count="2">
    <mergeCell ref="C1:E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2026-10-07T13:41:58Z</dcterms:modified>
</cp:coreProperties>
</file>